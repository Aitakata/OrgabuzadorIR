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6"/>
  <workbookPr defaultThemeVersion="166925"/>
  <xr:revisionPtr revIDLastSave="884" documentId="11_92485C45C1F39E42E268565A893E8C18510380CC" xr6:coauthVersionLast="47" xr6:coauthVersionMax="47" xr10:uidLastSave="{6BB24C67-C4FD-434F-86C6-4DCBB95F94C9}"/>
  <bookViews>
    <workbookView xWindow="240" yWindow="105" windowWidth="14805" windowHeight="8010" xr2:uid="{00000000-000D-0000-FFFF-FFFF00000000}"/>
  </bookViews>
  <sheets>
    <sheet name="Titular" sheetId="1" r:id="rId1"/>
    <sheet name="Informes" sheetId="2" r:id="rId2"/>
    <sheet name="Notas" sheetId="3" r:id="rId3"/>
    <sheet name="tabela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7" i="2" l="1"/>
  <c r="B25" i="3"/>
  <c r="B25" i="2"/>
  <c r="B25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<sst xmlns="http://schemas.openxmlformats.org/spreadsheetml/2006/main" count="129" uniqueCount="103">
  <si>
    <t>1. Dados do titular</t>
  </si>
  <si>
    <t>Preencher os dados da pessoa física</t>
  </si>
  <si>
    <t>Nome</t>
  </si>
  <si>
    <t>Artur the Ninja Skywalker</t>
  </si>
  <si>
    <t>CPF</t>
  </si>
  <si>
    <t xml:space="preserve">Nascimento </t>
  </si>
  <si>
    <t>Título de eleitor</t>
  </si>
  <si>
    <t>Cônjuge</t>
  </si>
  <si>
    <t>Mia Goth II</t>
  </si>
  <si>
    <t>Rua</t>
  </si>
  <si>
    <t>Domingos de Moraes, 180</t>
  </si>
  <si>
    <t>Rua abreviada</t>
  </si>
  <si>
    <t>D. Moraes, 180</t>
  </si>
  <si>
    <t xml:space="preserve"> </t>
  </si>
  <si>
    <t>CEP</t>
  </si>
  <si>
    <t>Titular</t>
  </si>
  <si>
    <t>Telefone</t>
  </si>
  <si>
    <t>Celular</t>
  </si>
  <si>
    <t>Informes</t>
  </si>
  <si>
    <t>E-mail</t>
  </si>
  <si>
    <t xml:space="preserve">artur@dio.com </t>
  </si>
  <si>
    <t>Houve alterações da entrega anterior</t>
  </si>
  <si>
    <t>Sim</t>
  </si>
  <si>
    <t>Notas</t>
  </si>
  <si>
    <t>Dependente cônjuge</t>
  </si>
  <si>
    <t>Não</t>
  </si>
  <si>
    <t>Residente no exterior</t>
  </si>
  <si>
    <t>Próximo ➡️</t>
  </si>
  <si>
    <t>55 (11) 0. 9999.8888</t>
  </si>
  <si>
    <t>✉ artur.takata@gmail.com</t>
  </si>
  <si>
    <t>2. Informe de rendimento bancários</t>
  </si>
  <si>
    <t>Preencha com os seus dados atuais do seu banco</t>
  </si>
  <si>
    <t>Total</t>
  </si>
  <si>
    <t>1º Banco</t>
  </si>
  <si>
    <t>Banco</t>
  </si>
  <si>
    <t>104 - Caixa Econômica Federal</t>
  </si>
  <si>
    <t>Valor atual</t>
  </si>
  <si>
    <t>Arquivo 🖇️</t>
  </si>
  <si>
    <t>CEF2026.pdf</t>
  </si>
  <si>
    <t>2º Banco</t>
  </si>
  <si>
    <t>1 - Banco do Brasil</t>
  </si>
  <si>
    <t>BB2026.pdf</t>
  </si>
  <si>
    <t>3º Banco</t>
  </si>
  <si>
    <t>212 - Banco Original</t>
  </si>
  <si>
    <t>original2026.pdf</t>
  </si>
  <si>
    <t xml:space="preserve">⬅️Anterior </t>
  </si>
  <si>
    <t>3. Notas bancárias ou extrato de holerites</t>
  </si>
  <si>
    <t>Preencha com as receitas recebidas durante o ano</t>
  </si>
  <si>
    <t>Entradas</t>
  </si>
  <si>
    <t>Data</t>
  </si>
  <si>
    <t>Categoria</t>
  </si>
  <si>
    <t>valor</t>
  </si>
  <si>
    <t>holerite</t>
  </si>
  <si>
    <t>CNPJ</t>
  </si>
  <si>
    <t>Freelancer</t>
  </si>
  <si>
    <t>Bancos</t>
  </si>
  <si>
    <t>102 - XP Investimentos CCTVM S.A.</t>
  </si>
  <si>
    <t>119 - Banco Western Union do Brasil</t>
  </si>
  <si>
    <t>184 - Banco Itaú BBA S.A.</t>
  </si>
  <si>
    <t>197 - Stone Pagamentos</t>
  </si>
  <si>
    <t>208 - Banco BTG Pactual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</si>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</sst>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00&quot;,&quot;000&quot;,&quot;000&quot;-&quot;00"/>
    <numFmt numFmtId="165" formatCode="00000\-000"/>
    <numFmt numFmtId="166" formatCode="&quot;(&quot;00&quot;) &quot;0000&quot;-&quot;0000"/>
    <numFmt numFmtId="167" formatCode="&quot;(&quot;00&quot;) &quot;0&quot;-&quot;0000&quot;-&quot;0000"/>
    <numFmt numFmtId="168" formatCode="&quot;R$&quot;\ #,##0.00"/>
    <numFmt numFmtId="169" formatCode="mmmm\ yyyy"/>
  </numFmts>
  <fonts count="18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rgb="FFD0CECE"/>
      <name val="Calibri"/>
      <scheme val="minor"/>
    </font>
    <font>
      <u/>
      <sz val="11"/>
      <color theme="2"/>
      <name val="Calibri"/>
      <family val="2"/>
      <scheme val="minor"/>
    </font>
    <font>
      <sz val="11"/>
      <color theme="2"/>
      <name val="Calibri"/>
      <family val="2"/>
      <scheme val="minor"/>
    </font>
    <font>
      <sz val="11"/>
      <color rgb="FFE7E6E6"/>
      <name val="Calibri"/>
      <scheme val="minor"/>
    </font>
    <font>
      <b/>
      <sz val="15"/>
      <color theme="3"/>
      <name val="Calibri"/>
      <scheme val="minor"/>
    </font>
    <font>
      <sz val="11"/>
      <color rgb="FF9C5700"/>
      <name val="Calibri"/>
      <scheme val="minor"/>
    </font>
    <font>
      <sz val="11"/>
      <color theme="1"/>
      <name val="Segoe UI Light"/>
    </font>
    <font>
      <i/>
      <sz val="11"/>
      <color theme="3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2" tint="-0.499984740745262"/>
      <name val="Calibri"/>
      <family val="2"/>
      <scheme val="minor"/>
    </font>
    <font>
      <b/>
      <sz val="11"/>
      <color rgb="FF9C5700"/>
      <name val="Calibri"/>
      <scheme val="minor"/>
    </font>
    <font>
      <b/>
      <sz val="12"/>
      <color rgb="FF000000"/>
      <name val="Calibri"/>
      <scheme val="minor"/>
    </font>
    <font>
      <u/>
      <sz val="11"/>
      <color theme="2" tint="-9.9978637043366805E-2"/>
      <name val="Calibri"/>
      <family val="2"/>
      <scheme val="minor"/>
    </font>
    <font>
      <sz val="14"/>
      <color theme="0"/>
      <name val="Segoe UI Light"/>
    </font>
    <font>
      <u/>
      <sz val="11"/>
      <color theme="0"/>
      <name val="Calibri"/>
      <family val="2"/>
      <scheme val="minor"/>
    </font>
    <font>
      <b/>
      <sz val="11"/>
      <color theme="0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001317"/>
        <bgColor indexed="64"/>
      </patternFill>
    </fill>
    <fill>
      <patternFill patternType="solid">
        <fgColor rgb="FFC44FD1"/>
        <bgColor indexed="64"/>
      </patternFill>
    </fill>
    <fill>
      <patternFill patternType="solid">
        <fgColor rgb="FFFFEB9C"/>
      </patternFill>
    </fill>
    <fill>
      <patternFill patternType="solid">
        <fgColor rgb="FFE8CEEB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58AE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medium">
        <color rgb="FFC44FD1"/>
      </bottom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 style="thin">
        <color theme="5" tint="0.39997558519241921"/>
      </left>
      <right/>
      <top style="thin">
        <color theme="5" tint="0.39997558519241921"/>
      </top>
      <bottom style="thin">
        <color theme="5" tint="0.39997558519241921"/>
      </bottom>
      <diagonal/>
    </border>
    <border>
      <left/>
      <right style="thin">
        <color theme="5" tint="0.39997558519241921"/>
      </right>
      <top style="thin">
        <color theme="5" tint="0.39997558519241921"/>
      </top>
      <bottom style="thin">
        <color theme="5" tint="0.39997558519241921"/>
      </bottom>
      <diagonal/>
    </border>
    <border>
      <left style="thin">
        <color theme="5" tint="0.39997558519241921"/>
      </left>
      <right/>
      <top style="thin">
        <color theme="5" tint="0.39997558519241921"/>
      </top>
      <bottom/>
      <diagonal/>
    </border>
    <border>
      <left/>
      <right/>
      <top style="thin">
        <color theme="5" tint="0.39997558519241921"/>
      </top>
      <bottom/>
      <diagonal/>
    </border>
    <border>
      <left/>
      <right style="thin">
        <color theme="5" tint="0.39997558519241921"/>
      </right>
      <top style="thin">
        <color theme="5" tint="0.39997558519241921"/>
      </top>
      <bottom/>
      <diagonal/>
    </border>
    <border>
      <left style="thin">
        <color theme="5" tint="0.39997558519241921"/>
      </left>
      <right/>
      <top/>
      <bottom/>
      <diagonal/>
    </border>
    <border>
      <left/>
      <right style="thin">
        <color theme="5" tint="0.39997558519241921"/>
      </right>
      <top/>
      <bottom/>
      <diagonal/>
    </border>
    <border>
      <left/>
      <right/>
      <top style="medium">
        <color rgb="FFC44FD1"/>
      </top>
      <bottom/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6" fillId="0" borderId="1" applyNumberFormat="0" applyFill="0" applyAlignment="0" applyProtection="0"/>
    <xf numFmtId="0" fontId="7" fillId="4" borderId="0" applyNumberFormat="0" applyBorder="0" applyAlignment="0" applyProtection="0"/>
  </cellStyleXfs>
  <cellXfs count="50">
    <xf numFmtId="0" fontId="0" fillId="0" borderId="0" xfId="0"/>
    <xf numFmtId="0" fontId="0" fillId="2" borderId="0" xfId="0" applyFill="1"/>
    <xf numFmtId="0" fontId="1" fillId="2" borderId="0" xfId="1" applyFill="1"/>
    <xf numFmtId="0" fontId="4" fillId="2" borderId="0" xfId="0" applyFont="1" applyFill="1" applyAlignment="1">
      <alignment horizontal="left" indent="1"/>
    </xf>
    <xf numFmtId="0" fontId="0" fillId="2" borderId="0" xfId="0" applyFill="1" applyAlignment="1">
      <alignment horizontal="left" indent="2"/>
    </xf>
    <xf numFmtId="0" fontId="4" fillId="2" borderId="0" xfId="0" applyFont="1" applyFill="1" applyAlignment="1">
      <alignment horizontal="left"/>
    </xf>
    <xf numFmtId="0" fontId="5" fillId="2" borderId="0" xfId="0" applyFont="1" applyFill="1"/>
    <xf numFmtId="0" fontId="8" fillId="0" borderId="4" xfId="0" applyFont="1" applyBorder="1" applyAlignment="1">
      <alignment horizontal="right"/>
    </xf>
    <xf numFmtId="0" fontId="8" fillId="0" borderId="5" xfId="0" applyFont="1" applyBorder="1" applyAlignment="1">
      <alignment horizontal="right"/>
    </xf>
    <xf numFmtId="0" fontId="0" fillId="0" borderId="0" xfId="0" applyAlignment="1">
      <alignment horizontal="center"/>
    </xf>
    <xf numFmtId="0" fontId="6" fillId="0" borderId="8" xfId="2" applyFill="1" applyBorder="1" applyAlignment="1"/>
    <xf numFmtId="0" fontId="0" fillId="0" borderId="8" xfId="0" applyBorder="1"/>
    <xf numFmtId="0" fontId="9" fillId="5" borderId="0" xfId="0" applyFont="1" applyFill="1" applyAlignment="1">
      <alignment horizontal="left" indent="2"/>
    </xf>
    <xf numFmtId="0" fontId="7" fillId="4" borderId="3" xfId="3" applyBorder="1" applyAlignment="1">
      <alignment horizontal="left"/>
    </xf>
    <xf numFmtId="0" fontId="7" fillId="4" borderId="2" xfId="3" applyBorder="1" applyAlignment="1">
      <alignment horizontal="left"/>
    </xf>
    <xf numFmtId="0" fontId="1" fillId="4" borderId="3" xfId="1" applyFill="1" applyBorder="1" applyAlignment="1">
      <alignment horizontal="left"/>
    </xf>
    <xf numFmtId="164" fontId="7" fillId="4" borderId="3" xfId="3" applyNumberFormat="1" applyBorder="1" applyAlignment="1">
      <alignment horizontal="left"/>
    </xf>
    <xf numFmtId="14" fontId="7" fillId="4" borderId="3" xfId="3" applyNumberFormat="1" applyBorder="1" applyAlignment="1">
      <alignment horizontal="left"/>
    </xf>
    <xf numFmtId="165" fontId="7" fillId="4" borderId="7" xfId="3" applyNumberFormat="1" applyBorder="1" applyAlignment="1">
      <alignment horizontal="left"/>
    </xf>
    <xf numFmtId="166" fontId="7" fillId="4" borderId="6" xfId="3" applyNumberFormat="1" applyBorder="1" applyAlignment="1">
      <alignment horizontal="left"/>
    </xf>
    <xf numFmtId="167" fontId="7" fillId="4" borderId="6" xfId="3" applyNumberFormat="1" applyBorder="1" applyAlignment="1">
      <alignment horizontal="left"/>
    </xf>
    <xf numFmtId="0" fontId="10" fillId="6" borderId="0" xfId="0" applyFont="1" applyFill="1"/>
    <xf numFmtId="168" fontId="7" fillId="4" borderId="3" xfId="3" applyNumberFormat="1" applyBorder="1" applyAlignment="1">
      <alignment horizontal="left"/>
    </xf>
    <xf numFmtId="0" fontId="11" fillId="0" borderId="0" xfId="0" applyFont="1"/>
    <xf numFmtId="168" fontId="12" fillId="4" borderId="3" xfId="3" applyNumberFormat="1" applyFont="1" applyBorder="1" applyAlignment="1">
      <alignment horizontal="center"/>
    </xf>
    <xf numFmtId="0" fontId="13" fillId="0" borderId="0" xfId="0" applyFont="1"/>
    <xf numFmtId="0" fontId="14" fillId="3" borderId="0" xfId="1" applyFont="1" applyFill="1" applyAlignment="1">
      <alignment horizontal="center"/>
    </xf>
    <xf numFmtId="168" fontId="0" fillId="5" borderId="0" xfId="0" applyNumberFormat="1" applyFill="1" applyAlignment="1">
      <alignment horizontal="center"/>
    </xf>
    <xf numFmtId="168" fontId="0" fillId="0" borderId="0" xfId="0" applyNumberFormat="1" applyAlignment="1">
      <alignment horizontal="center"/>
    </xf>
    <xf numFmtId="0" fontId="0" fillId="5" borderId="0" xfId="0" applyFill="1" applyAlignment="1">
      <alignment horizontal="center"/>
    </xf>
    <xf numFmtId="169" fontId="0" fillId="5" borderId="0" xfId="0" applyNumberFormat="1" applyFill="1" applyAlignment="1">
      <alignment horizontal="center"/>
    </xf>
    <xf numFmtId="0" fontId="16" fillId="3" borderId="0" xfId="1" applyFont="1" applyFill="1" applyAlignment="1">
      <alignment horizontal="center"/>
    </xf>
    <xf numFmtId="169" fontId="0" fillId="5" borderId="12" xfId="0" applyNumberFormat="1" applyFill="1" applyBorder="1" applyAlignment="1">
      <alignment horizontal="center"/>
    </xf>
    <xf numFmtId="0" fontId="0" fillId="5" borderId="13" xfId="0" applyFill="1" applyBorder="1" applyAlignment="1">
      <alignment horizontal="center"/>
    </xf>
    <xf numFmtId="168" fontId="0" fillId="5" borderId="14" xfId="0" applyNumberFormat="1" applyFill="1" applyBorder="1" applyAlignment="1">
      <alignment horizontal="center"/>
    </xf>
    <xf numFmtId="0" fontId="0" fillId="0" borderId="13" xfId="0" applyBorder="1" applyAlignment="1">
      <alignment horizontal="center"/>
    </xf>
    <xf numFmtId="168" fontId="0" fillId="0" borderId="14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168" fontId="0" fillId="0" borderId="11" xfId="0" applyNumberFormat="1" applyBorder="1" applyAlignment="1">
      <alignment horizontal="center"/>
    </xf>
    <xf numFmtId="0" fontId="17" fillId="3" borderId="15" xfId="0" applyFont="1" applyFill="1" applyBorder="1"/>
    <xf numFmtId="0" fontId="17" fillId="3" borderId="0" xfId="0" applyFont="1" applyFill="1"/>
    <xf numFmtId="0" fontId="17" fillId="3" borderId="16" xfId="0" applyFont="1" applyFill="1" applyBorder="1"/>
    <xf numFmtId="169" fontId="0" fillId="0" borderId="12" xfId="0" applyNumberFormat="1" applyBorder="1" applyAlignment="1">
      <alignment horizontal="center"/>
    </xf>
    <xf numFmtId="169" fontId="0" fillId="0" borderId="10" xfId="0" applyNumberFormat="1" applyBorder="1" applyAlignment="1">
      <alignment horizontal="center"/>
    </xf>
    <xf numFmtId="169" fontId="0" fillId="0" borderId="0" xfId="0" applyNumberFormat="1" applyAlignment="1">
      <alignment horizontal="center"/>
    </xf>
    <xf numFmtId="0" fontId="2" fillId="2" borderId="0" xfId="1" applyFont="1" applyFill="1" applyAlignment="1">
      <alignment horizontal="center"/>
    </xf>
    <xf numFmtId="0" fontId="2" fillId="3" borderId="0" xfId="1" applyFont="1" applyFill="1" applyAlignment="1">
      <alignment horizontal="center"/>
    </xf>
    <xf numFmtId="0" fontId="3" fillId="2" borderId="0" xfId="1" applyFont="1" applyFill="1" applyAlignment="1">
      <alignment horizontal="center" indent="2"/>
    </xf>
    <xf numFmtId="0" fontId="15" fillId="7" borderId="0" xfId="0" applyFont="1" applyFill="1" applyAlignment="1">
      <alignment horizontal="center"/>
    </xf>
    <xf numFmtId="0" fontId="9" fillId="5" borderId="17" xfId="0" applyFont="1" applyFill="1" applyBorder="1" applyAlignment="1">
      <alignment horizontal="left" indent="2"/>
    </xf>
  </cellXfs>
  <cellStyles count="4">
    <cellStyle name="Hyperlink" xfId="1" xr:uid="{00000000-000B-0000-0000-000008000000}"/>
    <cellStyle name="Neutro" xfId="3" builtinId="28"/>
    <cellStyle name="Normal" xfId="0" builtinId="0"/>
    <cellStyle name="Título 1" xfId="2" builtinId="16"/>
  </cellStyles>
  <dxfs count="5">
    <dxf>
      <numFmt numFmtId="168" formatCode="&quot;R$&quot;\ #,##0.00"/>
      <fill>
        <patternFill patternType="solid">
          <fgColor indexed="64"/>
          <bgColor rgb="FFE8CEEB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E8CEEB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E8CEEB"/>
        </patternFill>
      </fill>
      <alignment horizontal="center" vertical="bottom" textRotation="0" wrapText="0" indent="0" justifyLastLine="0" shrinkToFit="0" readingOrder="0"/>
    </dxf>
    <dxf>
      <border outline="0">
        <top style="thin">
          <color theme="5" tint="0.3999755851924192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Segoe UI"/>
        <scheme val="none"/>
      </font>
      <fill>
        <patternFill patternType="solid">
          <fgColor indexed="64"/>
          <bgColor rgb="FFC44FD1"/>
        </patternFill>
      </fill>
    </dxf>
  </dxfs>
  <tableStyles count="0" defaultTableStyle="TableStyleMedium2" defaultPivotStyle="PivotStyleMedium9"/>
  <colors>
    <mruColors>
      <color rgb="FFFF58AE"/>
      <color rgb="FFEB8F8F"/>
      <color rgb="FFDD91E5"/>
      <color rgb="FF001317"/>
      <color rgb="FFE8CEEB"/>
      <color rgb="FFC44FD1"/>
      <color rgb="FFE049EB"/>
      <color rgb="FFFFFFFF"/>
      <color rgb="FF0077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142875</xdr:colOff>
      <xdr:row>4</xdr:row>
      <xdr:rowOff>38100</xdr:rowOff>
    </xdr:from>
    <xdr:to>
      <xdr:col>3</xdr:col>
      <xdr:colOff>495300</xdr:colOff>
      <xdr:row>10</xdr:row>
      <xdr:rowOff>19050</xdr:rowOff>
    </xdr:to>
    <xdr:pic>
      <xdr:nvPicPr>
        <xdr:cNvPr id="3" name="Imagem 2" descr="simbolo do IR" title="leao">
          <a:extLst>
            <a:ext uri="{FF2B5EF4-FFF2-40B4-BE49-F238E27FC236}">
              <a16:creationId xmlns:a16="http://schemas.microsoft.com/office/drawing/2014/main" id="{2D845A43-8FCE-3901-D21C-67C2E603DC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2925" y="800100"/>
          <a:ext cx="1247775" cy="1219200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2</xdr:row>
      <xdr:rowOff>57150</xdr:rowOff>
    </xdr:from>
    <xdr:to>
      <xdr:col>3</xdr:col>
      <xdr:colOff>400050</xdr:colOff>
      <xdr:row>3</xdr:row>
      <xdr:rowOff>9525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9E41F3FA-728E-233E-BB8E-5E886AFBAC2F}"/>
            </a:ext>
            <a:ext uri="{147F2762-F138-4A5C-976F-8EAC2B608ADB}">
              <a16:predDERef xmlns:a16="http://schemas.microsoft.com/office/drawing/2014/main" pred="{2D845A43-8FCE-3901-D21C-67C2E603DC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1500" y="438150"/>
          <a:ext cx="1123950" cy="200025"/>
        </a:xfrm>
        <a:prstGeom prst="rect">
          <a:avLst/>
        </a:prstGeom>
      </xdr:spPr>
    </xdr:pic>
    <xdr:clientData/>
  </xdr:twoCellAnchor>
  <xdr:twoCellAnchor>
    <xdr:from>
      <xdr:col>1</xdr:col>
      <xdr:colOff>114300</xdr:colOff>
      <xdr:row>21</xdr:row>
      <xdr:rowOff>57150</xdr:rowOff>
    </xdr:from>
    <xdr:to>
      <xdr:col>4</xdr:col>
      <xdr:colOff>66675</xdr:colOff>
      <xdr:row>22</xdr:row>
      <xdr:rowOff>171450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E9A854B-B2BC-F776-3F4D-3CC6FE8D9E00}"/>
            </a:ext>
            <a:ext uri="{147F2762-F138-4A5C-976F-8EAC2B608ADB}">
              <a16:predDERef xmlns:a16="http://schemas.microsoft.com/office/drawing/2014/main" pred="{9E41F3FA-728E-233E-BB8E-5E886AFBAC2F}"/>
            </a:ext>
          </a:extLst>
        </xdr:cNvPr>
        <xdr:cNvSpPr txBox="1"/>
      </xdr:nvSpPr>
      <xdr:spPr>
        <a:xfrm>
          <a:off x="514350" y="4286250"/>
          <a:ext cx="1457325" cy="304800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solidFill>
                <a:schemeClr val="tx2">
                  <a:lumMod val="20000"/>
                  <a:lumOff val="80000"/>
                </a:schemeClr>
              </a:solidFill>
              <a:latin typeface="+mn-lt"/>
              <a:ea typeface="+mn-lt"/>
              <a:cs typeface="+mn-lt"/>
            </a:rPr>
            <a:t>System by Artur </a:t>
          </a:r>
          <a:r>
            <a:rPr lang="en-US" sz="1100">
              <a:solidFill>
                <a:srgbClr val="C44FD1"/>
              </a:solidFill>
              <a:latin typeface="+mn-lt"/>
              <a:ea typeface="+mn-lt"/>
              <a:cs typeface="+mn-lt"/>
            </a:rPr>
            <a:t>💜</a:t>
          </a:r>
        </a:p>
      </xdr:txBody>
    </xdr:sp>
    <xdr:clientData/>
  </xdr:twoCellAnchor>
  <xdr:twoCellAnchor>
    <xdr:from>
      <xdr:col>1</xdr:col>
      <xdr:colOff>47625</xdr:colOff>
      <xdr:row>21</xdr:row>
      <xdr:rowOff>38100</xdr:rowOff>
    </xdr:from>
    <xdr:to>
      <xdr:col>4</xdr:col>
      <xdr:colOff>0</xdr:colOff>
      <xdr:row>21</xdr:row>
      <xdr:rowOff>38100</xdr:rowOff>
    </xdr:to>
    <xdr:cxnSp macro="">
      <xdr:nvCxnSpPr>
        <xdr:cNvPr id="9" name="Conector Reto 8">
          <a:extLst>
            <a:ext uri="{FF2B5EF4-FFF2-40B4-BE49-F238E27FC236}">
              <a16:creationId xmlns:a16="http://schemas.microsoft.com/office/drawing/2014/main" id="{95C7FE74-402C-A890-85B7-0D5009F4EFF4}"/>
            </a:ext>
            <a:ext uri="{147F2762-F138-4A5C-976F-8EAC2B608ADB}">
              <a16:predDERef xmlns:a16="http://schemas.microsoft.com/office/drawing/2014/main" pred="{8E9A854B-B2BC-F776-3F4D-3CC6FE8D9E00}"/>
            </a:ext>
          </a:extLst>
        </xdr:cNvPr>
        <xdr:cNvCxnSpPr>
          <a:cxnSpLocks/>
          <a:extLst>
            <a:ext uri="{5F17804C-33F3-41E3-A699-7DCFA2EF7971}">
              <a16:cxnDERefs xmlns:a16="http://schemas.microsoft.com/office/drawing/2014/main" st="{8E9A854B-B2BC-F776-3F4D-3CC6FE8D9E00}" end="{8E9A854B-B2BC-F776-3F4D-3CC6FE8D9E00}"/>
            </a:ext>
          </a:extLst>
        </xdr:cNvCxnSpPr>
      </xdr:nvCxnSpPr>
      <xdr:spPr>
        <a:xfrm>
          <a:off x="447675" y="4267200"/>
          <a:ext cx="1457325" cy="0"/>
        </a:xfrm>
        <a:prstGeom prst="line">
          <a:avLst/>
        </a:prstGeom>
        <a:ln>
          <a:solidFill>
            <a:srgbClr val="C44FD1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142875</xdr:colOff>
      <xdr:row>4</xdr:row>
      <xdr:rowOff>38100</xdr:rowOff>
    </xdr:from>
    <xdr:to>
      <xdr:col>3</xdr:col>
      <xdr:colOff>485775</xdr:colOff>
      <xdr:row>10</xdr:row>
      <xdr:rowOff>85725</xdr:rowOff>
    </xdr:to>
    <xdr:pic>
      <xdr:nvPicPr>
        <xdr:cNvPr id="6" name="Imagem 2" descr="simbolo do IR" title="leao">
          <a:extLst>
            <a:ext uri="{FF2B5EF4-FFF2-40B4-BE49-F238E27FC236}">
              <a16:creationId xmlns:a16="http://schemas.microsoft.com/office/drawing/2014/main" id="{8C0DC629-3619-4A11-ADFE-61A04F6BF830}"/>
            </a:ext>
            <a:ext uri="{147F2762-F138-4A5C-976F-8EAC2B608ADB}">
              <a16:predDERef xmlns:a16="http://schemas.microsoft.com/office/drawing/2014/main" pred="{272509D4-273E-4232-AFEF-FF61F0BE41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2925" y="800100"/>
          <a:ext cx="1247775" cy="1219200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2</xdr:row>
      <xdr:rowOff>57150</xdr:rowOff>
    </xdr:from>
    <xdr:to>
      <xdr:col>3</xdr:col>
      <xdr:colOff>390525</xdr:colOff>
      <xdr:row>3</xdr:row>
      <xdr:rowOff>9525</xdr:rowOff>
    </xdr:to>
    <xdr:pic>
      <xdr:nvPicPr>
        <xdr:cNvPr id="7" name="Imagem 5">
          <a:extLst>
            <a:ext uri="{FF2B5EF4-FFF2-40B4-BE49-F238E27FC236}">
              <a16:creationId xmlns:a16="http://schemas.microsoft.com/office/drawing/2014/main" id="{F467D765-DA46-4197-9FCF-9FA81CFFD040}"/>
            </a:ext>
            <a:ext uri="{147F2762-F138-4A5C-976F-8EAC2B608ADB}">
              <a16:predDERef xmlns:a16="http://schemas.microsoft.com/office/drawing/2014/main" pred="{8C0DC629-3619-4A11-ADFE-61A04F6BF8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1500" y="438150"/>
          <a:ext cx="1123950" cy="200025"/>
        </a:xfrm>
        <a:prstGeom prst="rect">
          <a:avLst/>
        </a:prstGeom>
      </xdr:spPr>
    </xdr:pic>
    <xdr:clientData/>
  </xdr:twoCellAnchor>
  <xdr:twoCellAnchor>
    <xdr:from>
      <xdr:col>1</xdr:col>
      <xdr:colOff>114300</xdr:colOff>
      <xdr:row>21</xdr:row>
      <xdr:rowOff>57150</xdr:rowOff>
    </xdr:from>
    <xdr:to>
      <xdr:col>4</xdr:col>
      <xdr:colOff>66675</xdr:colOff>
      <xdr:row>22</xdr:row>
      <xdr:rowOff>171450</xdr:rowOff>
    </xdr:to>
    <xdr:sp macro="" textlink="">
      <xdr:nvSpPr>
        <xdr:cNvPr id="8" name="TextBox 4">
          <a:extLst>
            <a:ext uri="{FF2B5EF4-FFF2-40B4-BE49-F238E27FC236}">
              <a16:creationId xmlns:a16="http://schemas.microsoft.com/office/drawing/2014/main" id="{C0916288-B166-44D4-8519-A6ADEDEC8905}"/>
            </a:ext>
            <a:ext uri="{147F2762-F138-4A5C-976F-8EAC2B608ADB}">
              <a16:predDERef xmlns:a16="http://schemas.microsoft.com/office/drawing/2014/main" pred="{F467D765-DA46-4197-9FCF-9FA81CFFD040}"/>
            </a:ext>
          </a:extLst>
        </xdr:cNvPr>
        <xdr:cNvSpPr txBox="1"/>
      </xdr:nvSpPr>
      <xdr:spPr>
        <a:xfrm>
          <a:off x="514350" y="4286250"/>
          <a:ext cx="1371600" cy="304800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solidFill>
                <a:schemeClr val="tx2">
                  <a:lumMod val="20000"/>
                  <a:lumOff val="80000"/>
                </a:schemeClr>
              </a:solidFill>
              <a:latin typeface="+mn-lt"/>
              <a:ea typeface="+mn-lt"/>
              <a:cs typeface="+mn-lt"/>
            </a:rPr>
            <a:t>System by Artur </a:t>
          </a:r>
          <a:r>
            <a:rPr lang="en-US" sz="1100">
              <a:solidFill>
                <a:srgbClr val="C44FD1"/>
              </a:solidFill>
              <a:latin typeface="+mn-lt"/>
              <a:ea typeface="+mn-lt"/>
              <a:cs typeface="+mn-lt"/>
            </a:rPr>
            <a:t>💜</a:t>
          </a:r>
        </a:p>
      </xdr:txBody>
    </xdr:sp>
    <xdr:clientData/>
  </xdr:twoCellAnchor>
  <xdr:twoCellAnchor>
    <xdr:from>
      <xdr:col>1</xdr:col>
      <xdr:colOff>47625</xdr:colOff>
      <xdr:row>21</xdr:row>
      <xdr:rowOff>38100</xdr:rowOff>
    </xdr:from>
    <xdr:to>
      <xdr:col>4</xdr:col>
      <xdr:colOff>0</xdr:colOff>
      <xdr:row>21</xdr:row>
      <xdr:rowOff>38100</xdr:rowOff>
    </xdr:to>
    <xdr:cxnSp macro="">
      <xdr:nvCxnSpPr>
        <xdr:cNvPr id="9" name="Conector Reto 8">
          <a:extLst>
            <a:ext uri="{FF2B5EF4-FFF2-40B4-BE49-F238E27FC236}">
              <a16:creationId xmlns:a16="http://schemas.microsoft.com/office/drawing/2014/main" id="{927B0F36-8166-4349-A027-9963B94CB692}"/>
            </a:ext>
            <a:ext uri="{147F2762-F138-4A5C-976F-8EAC2B608ADB}">
              <a16:predDERef xmlns:a16="http://schemas.microsoft.com/office/drawing/2014/main" pred="{C0916288-B166-44D4-8519-A6ADEDEC8905}"/>
            </a:ext>
          </a:extLst>
        </xdr:cNvPr>
        <xdr:cNvCxnSpPr>
          <a:cxnSpLocks/>
          <a:extLst>
            <a:ext uri="{5F17804C-33F3-41E3-A699-7DCFA2EF7971}">
              <a16:cxnDERefs xmlns:a16="http://schemas.microsoft.com/office/drawing/2014/main" st="{8E9A854B-B2BC-F776-3F4D-3CC6FE8D9E00}" end="{8E9A854B-B2BC-F776-3F4D-3CC6FE8D9E00}"/>
            </a:ext>
          </a:extLst>
        </xdr:cNvCxnSpPr>
      </xdr:nvCxnSpPr>
      <xdr:spPr>
        <a:xfrm>
          <a:off x="447675" y="4267200"/>
          <a:ext cx="1371600" cy="0"/>
        </a:xfrm>
        <a:prstGeom prst="line">
          <a:avLst/>
        </a:prstGeom>
        <a:ln>
          <a:solidFill>
            <a:srgbClr val="C44FD1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142875</xdr:colOff>
      <xdr:row>4</xdr:row>
      <xdr:rowOff>38100</xdr:rowOff>
    </xdr:from>
    <xdr:to>
      <xdr:col>3</xdr:col>
      <xdr:colOff>476250</xdr:colOff>
      <xdr:row>10</xdr:row>
      <xdr:rowOff>28575</xdr:rowOff>
    </xdr:to>
    <xdr:pic>
      <xdr:nvPicPr>
        <xdr:cNvPr id="6" name="Imagem 2" descr="simbolo do IR" title="leao">
          <a:extLst>
            <a:ext uri="{FF2B5EF4-FFF2-40B4-BE49-F238E27FC236}">
              <a16:creationId xmlns:a16="http://schemas.microsoft.com/office/drawing/2014/main" id="{981DED78-5111-42F1-88DD-43AA8C036D91}"/>
            </a:ext>
            <a:ext uri="{147F2762-F138-4A5C-976F-8EAC2B608ADB}">
              <a16:predDERef xmlns:a16="http://schemas.microsoft.com/office/drawing/2014/main" pred="{013C2277-7A48-4DF3-AC58-850265EAC3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8150" y="800100"/>
          <a:ext cx="1247775" cy="1219200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2</xdr:row>
      <xdr:rowOff>57150</xdr:rowOff>
    </xdr:from>
    <xdr:to>
      <xdr:col>3</xdr:col>
      <xdr:colOff>381000</xdr:colOff>
      <xdr:row>3</xdr:row>
      <xdr:rowOff>9525</xdr:rowOff>
    </xdr:to>
    <xdr:pic>
      <xdr:nvPicPr>
        <xdr:cNvPr id="7" name="Imagem 5">
          <a:extLst>
            <a:ext uri="{FF2B5EF4-FFF2-40B4-BE49-F238E27FC236}">
              <a16:creationId xmlns:a16="http://schemas.microsoft.com/office/drawing/2014/main" id="{AA7967C9-C5A8-4184-82BC-ADBB95EBA8E4}"/>
            </a:ext>
            <a:ext uri="{147F2762-F138-4A5C-976F-8EAC2B608ADB}">
              <a16:predDERef xmlns:a16="http://schemas.microsoft.com/office/drawing/2014/main" pred="{981DED78-5111-42F1-88DD-43AA8C036D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6725" y="438150"/>
          <a:ext cx="1123950" cy="200025"/>
        </a:xfrm>
        <a:prstGeom prst="rect">
          <a:avLst/>
        </a:prstGeom>
      </xdr:spPr>
    </xdr:pic>
    <xdr:clientData/>
  </xdr:twoCellAnchor>
  <xdr:twoCellAnchor>
    <xdr:from>
      <xdr:col>1</xdr:col>
      <xdr:colOff>114300</xdr:colOff>
      <xdr:row>21</xdr:row>
      <xdr:rowOff>57150</xdr:rowOff>
    </xdr:from>
    <xdr:to>
      <xdr:col>4</xdr:col>
      <xdr:colOff>66675</xdr:colOff>
      <xdr:row>22</xdr:row>
      <xdr:rowOff>171450</xdr:rowOff>
    </xdr:to>
    <xdr:sp macro="" textlink="">
      <xdr:nvSpPr>
        <xdr:cNvPr id="8" name="TextBox 4">
          <a:extLst>
            <a:ext uri="{FF2B5EF4-FFF2-40B4-BE49-F238E27FC236}">
              <a16:creationId xmlns:a16="http://schemas.microsoft.com/office/drawing/2014/main" id="{02F11180-0DFB-49E6-964B-A64C07F0173B}"/>
            </a:ext>
            <a:ext uri="{147F2762-F138-4A5C-976F-8EAC2B608ADB}">
              <a16:predDERef xmlns:a16="http://schemas.microsoft.com/office/drawing/2014/main" pred="{AA7967C9-C5A8-4184-82BC-ADBB95EBA8E4}"/>
            </a:ext>
          </a:extLst>
        </xdr:cNvPr>
        <xdr:cNvSpPr txBox="1"/>
      </xdr:nvSpPr>
      <xdr:spPr>
        <a:xfrm>
          <a:off x="409575" y="4286250"/>
          <a:ext cx="1781175" cy="304800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solidFill>
                <a:schemeClr val="tx2">
                  <a:lumMod val="20000"/>
                  <a:lumOff val="80000"/>
                </a:schemeClr>
              </a:solidFill>
              <a:latin typeface="+mn-lt"/>
              <a:ea typeface="+mn-lt"/>
              <a:cs typeface="+mn-lt"/>
            </a:rPr>
            <a:t>System by Artur </a:t>
          </a:r>
          <a:r>
            <a:rPr lang="en-US" sz="1100">
              <a:solidFill>
                <a:srgbClr val="C44FD1"/>
              </a:solidFill>
              <a:latin typeface="+mn-lt"/>
              <a:ea typeface="+mn-lt"/>
              <a:cs typeface="+mn-lt"/>
            </a:rPr>
            <a:t>💜</a:t>
          </a:r>
        </a:p>
      </xdr:txBody>
    </xdr:sp>
    <xdr:clientData/>
  </xdr:twoCellAnchor>
  <xdr:twoCellAnchor>
    <xdr:from>
      <xdr:col>1</xdr:col>
      <xdr:colOff>47625</xdr:colOff>
      <xdr:row>21</xdr:row>
      <xdr:rowOff>38100</xdr:rowOff>
    </xdr:from>
    <xdr:to>
      <xdr:col>4</xdr:col>
      <xdr:colOff>0</xdr:colOff>
      <xdr:row>21</xdr:row>
      <xdr:rowOff>38100</xdr:rowOff>
    </xdr:to>
    <xdr:cxnSp macro="">
      <xdr:nvCxnSpPr>
        <xdr:cNvPr id="9" name="Conector Reto 8">
          <a:extLst>
            <a:ext uri="{FF2B5EF4-FFF2-40B4-BE49-F238E27FC236}">
              <a16:creationId xmlns:a16="http://schemas.microsoft.com/office/drawing/2014/main" id="{4D058E9F-5C78-42B1-BE59-65A70DD8A191}"/>
            </a:ext>
            <a:ext uri="{147F2762-F138-4A5C-976F-8EAC2B608ADB}">
              <a16:predDERef xmlns:a16="http://schemas.microsoft.com/office/drawing/2014/main" pred="{02F11180-0DFB-49E6-964B-A64C07F0173B}"/>
            </a:ext>
          </a:extLst>
        </xdr:cNvPr>
        <xdr:cNvCxnSpPr>
          <a:cxnSpLocks/>
          <a:extLst>
            <a:ext uri="{5F17804C-33F3-41E3-A699-7DCFA2EF7971}">
              <a16:cxnDERefs xmlns:a16="http://schemas.microsoft.com/office/drawing/2014/main" st="{8E9A854B-B2BC-F776-3F4D-3CC6FE8D9E00}" end="{8E9A854B-B2BC-F776-3F4D-3CC6FE8D9E00}"/>
            </a:ext>
          </a:extLst>
        </xdr:cNvCxnSpPr>
      </xdr:nvCxnSpPr>
      <xdr:spPr>
        <a:xfrm>
          <a:off x="342900" y="4267200"/>
          <a:ext cx="1781175" cy="0"/>
        </a:xfrm>
        <a:prstGeom prst="line">
          <a:avLst/>
        </a:prstGeom>
        <a:ln>
          <a:solidFill>
            <a:srgbClr val="C44FD1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905DDB4-8BA6-49F2-8F58-16D5592DC925}" name="Tabela3" displayName="Tabela3" ref="G8:I39" totalsRowShown="0" headerRowDxfId="4" tableBorderDxfId="3">
  <autoFilter ref="G8:I39" xr:uid="{A905DDB4-8BA6-49F2-8F58-16D5592DC925}"/>
  <tableColumns count="3">
    <tableColumn id="1" xr3:uid="{C40C0198-7032-42F2-A88B-5F91014FAE5C}" name="Data" dataDxfId="2"/>
    <tableColumn id="2" xr3:uid="{DA44ECCC-AA96-460C-924F-982B18B5F50E}" name="Categoria" dataDxfId="1"/>
    <tableColumn id="3" xr3:uid="{ADFF21B5-07AF-4AA8-86F4-C71FBE7EA421}" name="valo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mailto:artur@dio.com" TargetMode="External"/><Relationship Id="rId1" Type="http://schemas.openxmlformats.org/officeDocument/2006/relationships/hyperlink" Target="mailto:artur.takata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mailto:artur.takata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hyperlink" Target="mailto:artur.takat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9"/>
  <sheetViews>
    <sheetView showGridLines="0" showRowColHeaders="0" tabSelected="1" workbookViewId="0">
      <selection activeCell="G4" sqref="G4:H4"/>
    </sheetView>
  </sheetViews>
  <sheetFormatPr defaultRowHeight="15"/>
  <cols>
    <col min="1" max="1" width="6" customWidth="1"/>
    <col min="2" max="2" width="4.28515625" customWidth="1"/>
    <col min="3" max="3" width="9.140625" customWidth="1"/>
    <col min="4" max="4" width="7.85546875" customWidth="1"/>
    <col min="5" max="5" width="5.5703125" customWidth="1"/>
    <col min="7" max="7" width="37" bestFit="1" customWidth="1"/>
    <col min="8" max="8" width="36.5703125" customWidth="1"/>
  </cols>
  <sheetData>
    <row r="1" spans="1:8">
      <c r="A1" s="1"/>
      <c r="B1" s="1"/>
      <c r="C1" s="1"/>
      <c r="D1" s="1"/>
      <c r="E1" s="1"/>
    </row>
    <row r="2" spans="1:8">
      <c r="A2" s="1"/>
      <c r="B2" s="1"/>
      <c r="C2" s="1"/>
      <c r="D2" s="1"/>
      <c r="E2" s="1"/>
    </row>
    <row r="3" spans="1:8" ht="19.5">
      <c r="A3" s="1"/>
      <c r="B3" s="1"/>
      <c r="C3" s="1"/>
      <c r="D3" s="1"/>
      <c r="E3" s="1"/>
      <c r="G3" s="10" t="s">
        <v>0</v>
      </c>
      <c r="H3" s="10"/>
    </row>
    <row r="4" spans="1:8">
      <c r="A4" s="1"/>
      <c r="B4" s="1"/>
      <c r="C4" s="1"/>
      <c r="D4" s="1"/>
      <c r="E4" s="1"/>
      <c r="G4" s="49" t="s">
        <v>1</v>
      </c>
      <c r="H4" s="49"/>
    </row>
    <row r="5" spans="1:8">
      <c r="A5" s="1"/>
      <c r="B5" s="1"/>
      <c r="C5" s="1"/>
      <c r="D5" s="1"/>
      <c r="E5" s="1"/>
    </row>
    <row r="6" spans="1:8" ht="16.5">
      <c r="A6" s="1"/>
      <c r="B6" s="1"/>
      <c r="C6" s="1"/>
      <c r="D6" s="1"/>
      <c r="E6" s="1"/>
      <c r="G6" s="7" t="s">
        <v>2</v>
      </c>
      <c r="H6" s="13" t="s">
        <v>3</v>
      </c>
    </row>
    <row r="7" spans="1:8" ht="16.5">
      <c r="A7" s="1"/>
      <c r="B7" s="1"/>
      <c r="C7" s="1"/>
      <c r="D7" s="1"/>
      <c r="E7" s="1"/>
      <c r="G7" s="7" t="s">
        <v>4</v>
      </c>
      <c r="H7" s="16">
        <v>12312312312</v>
      </c>
    </row>
    <row r="8" spans="1:8" ht="16.5">
      <c r="A8" s="1"/>
      <c r="B8" s="1"/>
      <c r="C8" s="1"/>
      <c r="D8" s="1"/>
      <c r="E8" s="1"/>
      <c r="G8" s="7" t="s">
        <v>5</v>
      </c>
      <c r="H8" s="17">
        <v>33875</v>
      </c>
    </row>
    <row r="9" spans="1:8" ht="16.5">
      <c r="A9" s="1"/>
      <c r="B9" s="1"/>
      <c r="C9" s="1"/>
      <c r="D9" s="1"/>
      <c r="E9" s="1"/>
      <c r="G9" s="7" t="s">
        <v>6</v>
      </c>
      <c r="H9" s="13">
        <v>31713388</v>
      </c>
    </row>
    <row r="10" spans="1:8" ht="16.5">
      <c r="A10" s="1"/>
      <c r="B10" s="1"/>
      <c r="C10" s="1"/>
      <c r="D10" s="1"/>
      <c r="E10" s="1"/>
      <c r="G10" s="7" t="s">
        <v>7</v>
      </c>
      <c r="H10" s="13" t="s">
        <v>8</v>
      </c>
    </row>
    <row r="11" spans="1:8" ht="16.5">
      <c r="A11" s="1"/>
      <c r="B11" s="1"/>
      <c r="C11" s="1"/>
      <c r="D11" s="1"/>
      <c r="E11" s="1"/>
      <c r="G11" s="7" t="s">
        <v>9</v>
      </c>
      <c r="H11" s="14" t="s">
        <v>10</v>
      </c>
    </row>
    <row r="12" spans="1:8" ht="16.5">
      <c r="A12" s="1"/>
      <c r="B12" s="1"/>
      <c r="C12" s="1"/>
      <c r="D12" s="1"/>
      <c r="E12" s="1"/>
      <c r="G12" s="7" t="s">
        <v>11</v>
      </c>
      <c r="H12" s="14" t="s">
        <v>12</v>
      </c>
    </row>
    <row r="13" spans="1:8" ht="16.5">
      <c r="A13" s="1"/>
      <c r="B13" s="1"/>
      <c r="C13" s="1"/>
      <c r="D13" s="1"/>
      <c r="E13" s="1" t="s">
        <v>13</v>
      </c>
      <c r="G13" s="7" t="s">
        <v>14</v>
      </c>
      <c r="H13" s="18">
        <v>987654321</v>
      </c>
    </row>
    <row r="14" spans="1:8" ht="21">
      <c r="A14" s="1"/>
      <c r="B14" s="46" t="s">
        <v>15</v>
      </c>
      <c r="C14" s="46"/>
      <c r="D14" s="46"/>
      <c r="E14" s="1"/>
      <c r="G14" s="7" t="s">
        <v>16</v>
      </c>
      <c r="H14" s="19">
        <v>1131713388</v>
      </c>
    </row>
    <row r="15" spans="1:8" ht="16.5">
      <c r="A15" s="1"/>
      <c r="B15" s="1"/>
      <c r="C15" s="1"/>
      <c r="D15" s="1"/>
      <c r="E15" s="1"/>
      <c r="G15" s="8" t="s">
        <v>17</v>
      </c>
      <c r="H15" s="20">
        <v>11123456789</v>
      </c>
    </row>
    <row r="16" spans="1:8" ht="21">
      <c r="A16" s="1"/>
      <c r="B16" s="45" t="s">
        <v>18</v>
      </c>
      <c r="C16" s="45"/>
      <c r="D16" s="45"/>
      <c r="E16" s="1"/>
      <c r="G16" s="7" t="s">
        <v>19</v>
      </c>
      <c r="H16" s="15" t="s">
        <v>20</v>
      </c>
    </row>
    <row r="17" spans="1:9" ht="16.5">
      <c r="A17" s="1"/>
      <c r="B17" s="1"/>
      <c r="C17" s="1"/>
      <c r="D17" s="1"/>
      <c r="E17" s="1"/>
      <c r="G17" s="7" t="s">
        <v>21</v>
      </c>
      <c r="H17" s="13" t="s">
        <v>22</v>
      </c>
    </row>
    <row r="18" spans="1:9" ht="21">
      <c r="A18" s="1"/>
      <c r="B18" s="45" t="s">
        <v>23</v>
      </c>
      <c r="C18" s="45"/>
      <c r="D18" s="45"/>
      <c r="E18" s="1"/>
      <c r="G18" s="7" t="s">
        <v>24</v>
      </c>
      <c r="H18" s="13" t="s">
        <v>25</v>
      </c>
      <c r="I18" t="s">
        <v>13</v>
      </c>
    </row>
    <row r="19" spans="1:9" ht="16.5">
      <c r="A19" s="1"/>
      <c r="B19" s="1"/>
      <c r="C19" s="1"/>
      <c r="D19" s="1"/>
      <c r="E19" s="1"/>
      <c r="G19" s="7" t="s">
        <v>26</v>
      </c>
      <c r="H19" s="13" t="s">
        <v>25</v>
      </c>
    </row>
    <row r="20" spans="1:9">
      <c r="A20" s="1"/>
      <c r="B20" s="1"/>
      <c r="C20" s="1"/>
      <c r="D20" s="1"/>
      <c r="E20" s="1"/>
    </row>
    <row r="21" spans="1:9">
      <c r="A21" s="1"/>
      <c r="B21" s="1"/>
      <c r="C21" s="1"/>
      <c r="D21" s="1"/>
      <c r="E21" s="1"/>
      <c r="H21" s="31" t="s">
        <v>27</v>
      </c>
    </row>
    <row r="22" spans="1:9">
      <c r="A22" s="1"/>
      <c r="B22" s="1"/>
      <c r="C22" s="1"/>
      <c r="D22" s="1"/>
      <c r="E22" s="1"/>
    </row>
    <row r="23" spans="1:9">
      <c r="A23" s="1"/>
      <c r="B23" s="1"/>
      <c r="C23" s="1"/>
      <c r="D23" s="1"/>
      <c r="E23" s="1"/>
    </row>
    <row r="24" spans="1:9" ht="15.75" customHeight="1">
      <c r="A24" s="1"/>
      <c r="B24" s="4" t="e" vm="1">
        <v>#VALUE!</v>
      </c>
      <c r="C24" s="6" t="s">
        <v>28</v>
      </c>
      <c r="D24" s="1"/>
      <c r="E24" s="1"/>
    </row>
    <row r="25" spans="1:9" ht="20.25" customHeight="1">
      <c r="A25" s="1"/>
      <c r="B25" s="5" t="str">
        <f>HYPERLINK("https://www.linkedin.com/in/artur-issamu-takata","🔗 LinkedIn")</f>
        <v>🔗 LinkedIn</v>
      </c>
      <c r="C25" s="5"/>
      <c r="D25" s="3"/>
      <c r="E25" s="1"/>
    </row>
    <row r="26" spans="1:9">
      <c r="A26" s="1"/>
      <c r="B26" s="47" t="s">
        <v>29</v>
      </c>
      <c r="C26" s="47"/>
      <c r="D26" s="47"/>
      <c r="E26" s="1"/>
    </row>
    <row r="27" spans="1:9">
      <c r="A27" s="1"/>
      <c r="B27" s="1"/>
      <c r="C27" s="1"/>
      <c r="D27" s="1"/>
      <c r="E27" s="1"/>
    </row>
    <row r="28" spans="1:9">
      <c r="A28" s="1"/>
      <c r="B28" s="1"/>
      <c r="C28" s="1"/>
      <c r="D28" s="1"/>
      <c r="E28" s="1"/>
    </row>
    <row r="29" spans="1:9">
      <c r="A29" s="1"/>
      <c r="B29" s="1"/>
      <c r="C29" s="1"/>
      <c r="D29" s="1"/>
      <c r="E29" s="1"/>
    </row>
    <row r="30" spans="1:9">
      <c r="A30" s="1"/>
      <c r="B30" s="1"/>
      <c r="C30" s="1"/>
      <c r="D30" s="1"/>
      <c r="E30" s="1"/>
    </row>
    <row r="31" spans="1:9">
      <c r="A31" s="1"/>
      <c r="B31" s="1"/>
      <c r="C31" s="1"/>
      <c r="D31" s="1"/>
      <c r="E31" s="1"/>
    </row>
    <row r="32" spans="1:9">
      <c r="A32" s="1"/>
      <c r="B32" s="2"/>
      <c r="C32" s="1"/>
      <c r="D32" s="1"/>
      <c r="E32" s="1"/>
    </row>
    <row r="33" spans="1:5">
      <c r="A33" s="1"/>
      <c r="B33" s="1"/>
      <c r="C33" s="1"/>
      <c r="D33" s="1"/>
      <c r="E33" s="1"/>
    </row>
    <row r="34" spans="1:5">
      <c r="A34" s="1"/>
      <c r="B34" s="1"/>
      <c r="C34" s="1"/>
      <c r="D34" s="1"/>
      <c r="E34" s="1"/>
    </row>
    <row r="35" spans="1:5">
      <c r="A35" s="1"/>
      <c r="B35" s="1"/>
      <c r="C35" s="1"/>
      <c r="D35" s="1"/>
      <c r="E35" s="1"/>
    </row>
    <row r="36" spans="1:5">
      <c r="A36" s="1"/>
      <c r="B36" s="1"/>
      <c r="C36" s="1"/>
      <c r="D36" s="1"/>
      <c r="E36" s="1"/>
    </row>
    <row r="37" spans="1:5">
      <c r="A37" s="1"/>
      <c r="B37" s="1"/>
      <c r="C37" s="1"/>
      <c r="D37" s="1"/>
      <c r="E37" s="1"/>
    </row>
    <row r="38" spans="1:5">
      <c r="A38" s="1"/>
      <c r="B38" s="1"/>
      <c r="C38" s="1"/>
      <c r="D38" s="1"/>
      <c r="E38" s="1"/>
    </row>
    <row r="39" spans="1:5">
      <c r="A39" s="1"/>
      <c r="B39" s="1"/>
      <c r="C39" s="1"/>
      <c r="D39" s="1"/>
      <c r="E39" s="1"/>
    </row>
  </sheetData>
  <sheetProtection sheet="1" objects="1" scenarios="1"/>
  <protectedRanges>
    <protectedRange sqref="H9:H19" name="Range1"/>
  </protectedRanges>
  <mergeCells count="5">
    <mergeCell ref="B18:D18"/>
    <mergeCell ref="B16:D16"/>
    <mergeCell ref="B14:D14"/>
    <mergeCell ref="B26:D26"/>
    <mergeCell ref="G4:H4"/>
  </mergeCells>
  <dataValidations count="1">
    <dataValidation type="list" allowBlank="1" showInputMessage="1" showErrorMessage="1" sqref="H17:H19" xr:uid="{6C2EE8BF-E463-4AED-8231-25BEDCC81AEA}">
      <formula1>"Sim, Não"</formula1>
    </dataValidation>
  </dataValidations>
  <hyperlinks>
    <hyperlink ref="B14" location="'Titular'!A1" display="Titular" xr:uid="{3700D530-790F-415D-91D9-22DA20154831}"/>
    <hyperlink ref="B16" location="'Informes'!A1" display="Informes" xr:uid="{A8F8739B-B8EE-41C4-858C-9B4001F47EAA}"/>
    <hyperlink ref="B18" location="'Notas'!A1" display="Notas" xr:uid="{7C1DA34E-BF1E-4E4B-BC1F-F46FEF49A23C}"/>
    <hyperlink ref="B26:D26" r:id="rId1" display="✉ artur.takata@gmail.com" xr:uid="{206B8113-1ADF-4448-B105-2C43B19BEB3B}"/>
    <hyperlink ref="H16" r:id="rId2" xr:uid="{6AD70ECB-B562-4127-BBD2-BE8BE59C96A9}"/>
    <hyperlink ref="H21" location="'Informes'!A1" display="Próximo ➡️" xr:uid="{5CC5F8FB-264C-4E2C-BF0A-353A22E4BE3E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6CB87-F207-4E14-A0E1-51C2DF708740}">
  <dimension ref="A1:I39"/>
  <sheetViews>
    <sheetView showGridLines="0" showRowColHeaders="0" workbookViewId="0">
      <selection activeCell="B14" sqref="B14:D14"/>
    </sheetView>
  </sheetViews>
  <sheetFormatPr defaultRowHeight="15"/>
  <cols>
    <col min="1" max="2" width="4.42578125" customWidth="1"/>
    <col min="5" max="5" width="5.28515625" customWidth="1"/>
    <col min="7" max="7" width="37" bestFit="1" customWidth="1"/>
    <col min="8" max="8" width="29.140625" customWidth="1"/>
  </cols>
  <sheetData>
    <row r="1" spans="1:8">
      <c r="A1" s="1"/>
      <c r="B1" s="1"/>
      <c r="C1" s="1"/>
      <c r="D1" s="1"/>
      <c r="E1" s="1"/>
    </row>
    <row r="2" spans="1:8">
      <c r="A2" s="1"/>
      <c r="B2" s="1"/>
      <c r="C2" s="1"/>
      <c r="D2" s="1"/>
      <c r="E2" s="1"/>
    </row>
    <row r="3" spans="1:8" ht="19.5">
      <c r="A3" s="1"/>
      <c r="B3" s="1"/>
      <c r="C3" s="1"/>
      <c r="D3" s="1"/>
      <c r="E3" s="1"/>
      <c r="G3" s="10" t="s">
        <v>30</v>
      </c>
      <c r="H3" s="10"/>
    </row>
    <row r="4" spans="1:8">
      <c r="A4" s="1"/>
      <c r="B4" s="1"/>
      <c r="C4" s="1"/>
      <c r="D4" s="1"/>
      <c r="E4" s="1"/>
      <c r="G4" s="12" t="s">
        <v>31</v>
      </c>
      <c r="H4" s="12"/>
    </row>
    <row r="5" spans="1:8">
      <c r="A5" s="1"/>
      <c r="B5" s="1"/>
      <c r="C5" s="1"/>
      <c r="D5" s="1"/>
      <c r="E5" s="1"/>
    </row>
    <row r="6" spans="1:8" ht="15.75">
      <c r="A6" s="1"/>
      <c r="B6" s="1"/>
      <c r="C6" s="1"/>
      <c r="D6" s="1"/>
      <c r="E6" s="1"/>
      <c r="G6" s="25" t="s">
        <v>32</v>
      </c>
    </row>
    <row r="7" spans="1:8">
      <c r="A7" s="1"/>
      <c r="B7" s="1"/>
      <c r="C7" s="1"/>
      <c r="D7" s="1"/>
      <c r="E7" s="1"/>
      <c r="G7" s="24">
        <f>SUM(H11,H16,H21)</f>
        <v>1400000</v>
      </c>
      <c r="H7" s="24"/>
    </row>
    <row r="8" spans="1:8">
      <c r="A8" s="1"/>
      <c r="B8" s="1"/>
      <c r="C8" s="1"/>
      <c r="D8" s="1"/>
      <c r="E8" s="1"/>
    </row>
    <row r="9" spans="1:8">
      <c r="A9" s="1"/>
      <c r="B9" s="1"/>
      <c r="C9" s="1"/>
      <c r="D9" s="1"/>
      <c r="E9" s="1"/>
      <c r="G9" s="23" t="s">
        <v>33</v>
      </c>
    </row>
    <row r="10" spans="1:8" ht="16.5">
      <c r="A10" s="1"/>
      <c r="B10" s="1"/>
      <c r="C10" s="1"/>
      <c r="D10" s="1"/>
      <c r="E10" s="1"/>
      <c r="G10" s="7" t="s">
        <v>34</v>
      </c>
      <c r="H10" s="13" t="s">
        <v>35</v>
      </c>
    </row>
    <row r="11" spans="1:8" ht="16.5">
      <c r="A11" s="1"/>
      <c r="B11" s="1"/>
      <c r="C11" s="1"/>
      <c r="D11" s="1"/>
      <c r="E11" s="1"/>
      <c r="G11" s="7" t="s">
        <v>36</v>
      </c>
      <c r="H11" s="22">
        <v>500000</v>
      </c>
    </row>
    <row r="12" spans="1:8" ht="16.5">
      <c r="A12" s="1"/>
      <c r="B12" s="1"/>
      <c r="C12" s="1"/>
      <c r="D12" s="1"/>
      <c r="E12" s="1"/>
      <c r="G12" s="7" t="s">
        <v>37</v>
      </c>
      <c r="H12" s="17" t="s">
        <v>38</v>
      </c>
    </row>
    <row r="13" spans="1:8">
      <c r="A13" s="1"/>
      <c r="B13" s="1"/>
      <c r="C13" s="1"/>
      <c r="D13" s="1"/>
      <c r="E13" s="1" t="s">
        <v>13</v>
      </c>
    </row>
    <row r="14" spans="1:8" ht="15.75" customHeight="1">
      <c r="A14" s="1"/>
      <c r="B14" s="45" t="s">
        <v>15</v>
      </c>
      <c r="C14" s="45"/>
      <c r="D14" s="45"/>
      <c r="E14" s="1"/>
      <c r="G14" s="23" t="s">
        <v>39</v>
      </c>
    </row>
    <row r="15" spans="1:8" ht="16.5">
      <c r="A15" s="1"/>
      <c r="B15" s="1"/>
      <c r="C15" s="1"/>
      <c r="D15" s="1"/>
      <c r="E15" s="1"/>
      <c r="G15" s="7" t="s">
        <v>34</v>
      </c>
      <c r="H15" s="13" t="s">
        <v>40</v>
      </c>
    </row>
    <row r="16" spans="1:8" ht="21">
      <c r="A16" s="1"/>
      <c r="B16" s="46" t="s">
        <v>18</v>
      </c>
      <c r="C16" s="46"/>
      <c r="D16" s="46"/>
      <c r="E16" s="1"/>
      <c r="G16" s="7" t="s">
        <v>36</v>
      </c>
      <c r="H16" s="22">
        <v>700000</v>
      </c>
    </row>
    <row r="17" spans="1:9" ht="16.5">
      <c r="A17" s="1"/>
      <c r="B17" s="1"/>
      <c r="C17" s="1"/>
      <c r="D17" s="1"/>
      <c r="E17" s="1"/>
      <c r="G17" s="7" t="s">
        <v>37</v>
      </c>
      <c r="H17" s="17" t="s">
        <v>41</v>
      </c>
    </row>
    <row r="18" spans="1:9" ht="15.75" customHeight="1">
      <c r="A18" s="1"/>
      <c r="B18" s="45" t="s">
        <v>23</v>
      </c>
      <c r="C18" s="45"/>
      <c r="D18" s="45"/>
      <c r="E18" s="1"/>
      <c r="I18" t="s">
        <v>13</v>
      </c>
    </row>
    <row r="19" spans="1:9">
      <c r="A19" s="1"/>
      <c r="B19" s="1"/>
      <c r="C19" s="1"/>
      <c r="D19" s="1"/>
      <c r="E19" s="1"/>
      <c r="G19" s="23" t="s">
        <v>42</v>
      </c>
    </row>
    <row r="20" spans="1:9" ht="16.5">
      <c r="A20" s="1"/>
      <c r="B20" s="1"/>
      <c r="C20" s="1"/>
      <c r="D20" s="1"/>
      <c r="E20" s="1"/>
      <c r="G20" s="7" t="s">
        <v>34</v>
      </c>
      <c r="H20" s="13" t="s">
        <v>43</v>
      </c>
    </row>
    <row r="21" spans="1:9" ht="16.5">
      <c r="A21" s="1"/>
      <c r="B21" s="1"/>
      <c r="C21" s="1"/>
      <c r="D21" s="1"/>
      <c r="E21" s="1"/>
      <c r="G21" s="7" t="s">
        <v>36</v>
      </c>
      <c r="H21" s="22">
        <v>200000</v>
      </c>
    </row>
    <row r="22" spans="1:9" ht="16.5">
      <c r="A22" s="1"/>
      <c r="B22" s="1"/>
      <c r="C22" s="1"/>
      <c r="D22" s="1"/>
      <c r="E22" s="1"/>
      <c r="G22" s="7" t="s">
        <v>37</v>
      </c>
      <c r="H22" s="17" t="s">
        <v>44</v>
      </c>
    </row>
    <row r="23" spans="1:9">
      <c r="A23" s="1"/>
      <c r="B23" s="1"/>
      <c r="C23" s="1"/>
      <c r="D23" s="1"/>
      <c r="E23" s="1"/>
    </row>
    <row r="24" spans="1:9">
      <c r="A24" s="1"/>
      <c r="B24" s="4" t="e" vm="1">
        <v>#VALUE!</v>
      </c>
      <c r="C24" s="6" t="s">
        <v>28</v>
      </c>
      <c r="D24" s="1"/>
      <c r="E24" s="1"/>
    </row>
    <row r="25" spans="1:9">
      <c r="A25" s="1"/>
      <c r="B25" s="5" t="str">
        <f>HYPERLINK("https://www.linkedin.com/in/artur-issamu-takata","🔗 LinkedIn")</f>
        <v>🔗 LinkedIn</v>
      </c>
      <c r="C25" s="5"/>
      <c r="D25" s="3"/>
      <c r="E25" s="1"/>
      <c r="G25" s="26" t="s">
        <v>45</v>
      </c>
      <c r="H25" s="26" t="s">
        <v>27</v>
      </c>
    </row>
    <row r="26" spans="1:9">
      <c r="A26" s="1"/>
      <c r="B26" s="47" t="s">
        <v>29</v>
      </c>
      <c r="C26" s="47"/>
      <c r="D26" s="47"/>
      <c r="E26" s="1"/>
    </row>
    <row r="27" spans="1:9">
      <c r="A27" s="1"/>
      <c r="B27" s="1"/>
      <c r="C27" s="1"/>
      <c r="D27" s="1"/>
      <c r="E27" s="1"/>
    </row>
    <row r="28" spans="1:9">
      <c r="A28" s="1"/>
      <c r="B28" s="1"/>
      <c r="C28" s="1"/>
      <c r="D28" s="1"/>
      <c r="E28" s="1"/>
    </row>
    <row r="29" spans="1:9">
      <c r="A29" s="1"/>
      <c r="B29" s="1"/>
      <c r="C29" s="1"/>
      <c r="D29" s="1"/>
      <c r="E29" s="1"/>
    </row>
    <row r="30" spans="1:9">
      <c r="A30" s="1"/>
      <c r="B30" s="1"/>
      <c r="C30" s="1"/>
      <c r="D30" s="1"/>
      <c r="E30" s="1"/>
    </row>
    <row r="31" spans="1:9">
      <c r="A31" s="1"/>
      <c r="B31" s="1"/>
      <c r="C31" s="1"/>
      <c r="D31" s="1"/>
      <c r="E31" s="1"/>
    </row>
    <row r="32" spans="1:9">
      <c r="A32" s="1"/>
      <c r="B32" s="2"/>
      <c r="C32" s="1"/>
      <c r="D32" s="1"/>
      <c r="E32" s="1"/>
    </row>
    <row r="33" spans="1:5">
      <c r="A33" s="1"/>
      <c r="B33" s="1"/>
      <c r="C33" s="1"/>
      <c r="D33" s="1"/>
      <c r="E33" s="1"/>
    </row>
    <row r="34" spans="1:5">
      <c r="A34" s="1"/>
      <c r="B34" s="1"/>
      <c r="C34" s="1"/>
      <c r="D34" s="1"/>
      <c r="E34" s="1"/>
    </row>
    <row r="35" spans="1:5">
      <c r="A35" s="1"/>
      <c r="B35" s="1"/>
      <c r="C35" s="1"/>
      <c r="D35" s="1"/>
      <c r="E35" s="1"/>
    </row>
    <row r="36" spans="1:5">
      <c r="A36" s="1"/>
      <c r="B36" s="1"/>
      <c r="C36" s="1"/>
      <c r="D36" s="1"/>
      <c r="E36" s="1"/>
    </row>
    <row r="37" spans="1:5">
      <c r="A37" s="1"/>
      <c r="B37" s="1"/>
      <c r="C37" s="1"/>
      <c r="D37" s="1"/>
      <c r="E37" s="1"/>
    </row>
    <row r="38" spans="1:5">
      <c r="A38" s="1"/>
      <c r="B38" s="1"/>
      <c r="C38" s="1"/>
      <c r="D38" s="1"/>
      <c r="E38" s="1"/>
    </row>
    <row r="39" spans="1:5">
      <c r="A39" s="1"/>
      <c r="B39" s="1"/>
      <c r="C39" s="1"/>
      <c r="D39" s="1"/>
      <c r="E39" s="1"/>
    </row>
  </sheetData>
  <sheetProtection sheet="1" objects="1" scenarios="1"/>
  <protectedRanges>
    <protectedRange sqref="H10:H12" name="Range1"/>
    <protectedRange sqref="H15:H17" name="Range2"/>
    <protectedRange sqref="H20:H22" name="Range3"/>
  </protectedRanges>
  <mergeCells count="4">
    <mergeCell ref="B14:D14"/>
    <mergeCell ref="B16:D16"/>
    <mergeCell ref="B18:D18"/>
    <mergeCell ref="B26:D26"/>
  </mergeCells>
  <hyperlinks>
    <hyperlink ref="B14" location="'Titular'!A1" display="Titular" xr:uid="{AC761D3F-FC57-4339-A0C0-A96B4BD71EFD}"/>
    <hyperlink ref="B16" location="'Informes'!A1" display="Informes" xr:uid="{FB5F14DC-43B1-4C1A-8CE8-E73B182EDB27}"/>
    <hyperlink ref="B18" location="'Notas'!A1" display="Notas" xr:uid="{90AFF3B2-3B62-4AE5-8162-D64F0BA4AD50}"/>
    <hyperlink ref="B26:D26" r:id="rId1" display="✉ artur.takata@gmail.com" xr:uid="{1131E474-96EA-4E08-8769-32C616F73FBD}"/>
    <hyperlink ref="H25" location="'Notas'!A1" display="Próximo ➡️" xr:uid="{CCE5F0E2-A497-4469-BF03-B9C72E1963BF}"/>
    <hyperlink ref="G25" location="'Titular'!A1" display="⬅️Anterior " xr:uid="{2F09CFBD-36E0-4617-8D03-D893B143084A}"/>
  </hyperlinks>
  <pageMargins left="0.7" right="0.7" top="0.75" bottom="0.75" header="0.3" footer="0.3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o banco" prompt="Informe um banco vinculado ao seu CPF" xr:uid="{2CB48E8A-D303-4E46-8067-6C5EF9A72053}">
          <x14:formula1>
            <xm:f>tabelas!$B$2:$B$51</xm:f>
          </x14:formula1>
          <xm:sqref>H10 H15 H20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090D0-6ED1-4C9A-90CE-2111D87F431A}">
  <dimension ref="A1:I39"/>
  <sheetViews>
    <sheetView showGridLines="0" showRowColHeaders="0" topLeftCell="A8" workbookViewId="0">
      <selection activeCell="N12" sqref="N12"/>
    </sheetView>
  </sheetViews>
  <sheetFormatPr defaultRowHeight="15"/>
  <cols>
    <col min="1" max="1" width="5.5703125" customWidth="1"/>
    <col min="2" max="2" width="4.5703125" customWidth="1"/>
    <col min="5" max="5" width="5.85546875" customWidth="1"/>
    <col min="7" max="7" width="20.85546875" customWidth="1"/>
    <col min="8" max="8" width="31" customWidth="1"/>
    <col min="9" max="9" width="11.42578125" bestFit="1" customWidth="1"/>
  </cols>
  <sheetData>
    <row r="1" spans="1:9">
      <c r="A1" s="1"/>
      <c r="B1" s="1"/>
      <c r="C1" s="1"/>
      <c r="D1" s="1"/>
      <c r="E1" s="1"/>
    </row>
    <row r="2" spans="1:9">
      <c r="A2" s="1"/>
      <c r="B2" s="1"/>
      <c r="C2" s="1"/>
      <c r="D2" s="1"/>
      <c r="E2" s="1"/>
    </row>
    <row r="3" spans="1:9" ht="19.5">
      <c r="A3" s="1"/>
      <c r="B3" s="1"/>
      <c r="C3" s="1"/>
      <c r="D3" s="1"/>
      <c r="E3" s="1"/>
      <c r="G3" s="10" t="s">
        <v>46</v>
      </c>
      <c r="H3" s="10"/>
      <c r="I3" s="11"/>
    </row>
    <row r="4" spans="1:9">
      <c r="A4" s="1"/>
      <c r="B4" s="1"/>
      <c r="C4" s="1"/>
      <c r="D4" s="1"/>
      <c r="E4" s="1"/>
      <c r="G4" s="12" t="s">
        <v>47</v>
      </c>
      <c r="H4" s="12"/>
      <c r="I4" s="12"/>
    </row>
    <row r="5" spans="1:9">
      <c r="A5" s="1"/>
      <c r="B5" s="1"/>
      <c r="C5" s="1"/>
      <c r="D5" s="1"/>
      <c r="E5" s="1"/>
    </row>
    <row r="6" spans="1:9">
      <c r="A6" s="1"/>
      <c r="B6" s="1"/>
      <c r="C6" s="1"/>
      <c r="D6" s="1"/>
      <c r="E6" s="1"/>
      <c r="G6" s="31" t="s">
        <v>45</v>
      </c>
    </row>
    <row r="7" spans="1:9" ht="20.25">
      <c r="A7" s="1"/>
      <c r="B7" s="1"/>
      <c r="C7" s="1"/>
      <c r="D7" s="1"/>
      <c r="E7" s="1"/>
      <c r="G7" s="48" t="s">
        <v>48</v>
      </c>
      <c r="H7" s="48"/>
      <c r="I7" s="48"/>
    </row>
    <row r="8" spans="1:9" ht="16.5">
      <c r="A8" s="1"/>
      <c r="B8" s="1"/>
      <c r="C8" s="1"/>
      <c r="D8" s="1"/>
      <c r="E8" s="1"/>
      <c r="G8" s="39" t="s">
        <v>49</v>
      </c>
      <c r="H8" s="40" t="s">
        <v>50</v>
      </c>
      <c r="I8" s="41" t="s">
        <v>51</v>
      </c>
    </row>
    <row r="9" spans="1:9">
      <c r="A9" s="1"/>
      <c r="B9" s="1"/>
      <c r="C9" s="1"/>
      <c r="D9" s="1"/>
      <c r="E9" s="1"/>
      <c r="G9" s="32">
        <v>46306</v>
      </c>
      <c r="H9" s="33" t="s">
        <v>52</v>
      </c>
      <c r="I9" s="34">
        <v>2500</v>
      </c>
    </row>
    <row r="10" spans="1:9">
      <c r="A10" s="1"/>
      <c r="B10" s="1"/>
      <c r="C10" s="1"/>
      <c r="D10" s="1"/>
      <c r="E10" s="1"/>
      <c r="G10" s="42">
        <v>46296</v>
      </c>
      <c r="H10" s="35" t="s">
        <v>53</v>
      </c>
      <c r="I10" s="36">
        <v>1000</v>
      </c>
    </row>
    <row r="11" spans="1:9">
      <c r="A11" s="1"/>
      <c r="B11" s="1"/>
      <c r="C11" s="1"/>
      <c r="D11" s="1"/>
      <c r="E11" s="1"/>
      <c r="G11" s="32">
        <v>46296</v>
      </c>
      <c r="H11" s="33" t="s">
        <v>54</v>
      </c>
      <c r="I11" s="34">
        <v>200</v>
      </c>
    </row>
    <row r="12" spans="1:9">
      <c r="A12" s="1"/>
      <c r="B12" s="1"/>
      <c r="C12" s="1"/>
      <c r="D12" s="1"/>
      <c r="E12" s="1"/>
      <c r="G12" s="42"/>
      <c r="H12" s="35"/>
      <c r="I12" s="36"/>
    </row>
    <row r="13" spans="1:9">
      <c r="A13" s="1"/>
      <c r="B13" s="1"/>
      <c r="C13" s="1"/>
      <c r="D13" s="1"/>
      <c r="E13" s="1" t="s">
        <v>13</v>
      </c>
      <c r="G13" s="32"/>
      <c r="H13" s="33"/>
      <c r="I13" s="34"/>
    </row>
    <row r="14" spans="1:9" ht="21">
      <c r="A14" s="1"/>
      <c r="B14" s="45" t="s">
        <v>15</v>
      </c>
      <c r="C14" s="45"/>
      <c r="D14" s="45"/>
      <c r="E14" s="1"/>
      <c r="G14" s="42"/>
      <c r="H14" s="35"/>
      <c r="I14" s="36"/>
    </row>
    <row r="15" spans="1:9">
      <c r="A15" s="1"/>
      <c r="B15" s="1"/>
      <c r="C15" s="1"/>
      <c r="D15" s="1"/>
      <c r="E15" s="1"/>
      <c r="G15" s="32"/>
      <c r="H15" s="33"/>
      <c r="I15" s="34"/>
    </row>
    <row r="16" spans="1:9" ht="21">
      <c r="A16" s="1"/>
      <c r="B16" s="45" t="s">
        <v>18</v>
      </c>
      <c r="C16" s="45"/>
      <c r="D16" s="45"/>
      <c r="E16" s="1"/>
      <c r="G16" s="42"/>
      <c r="H16" s="35"/>
      <c r="I16" s="36"/>
    </row>
    <row r="17" spans="1:9">
      <c r="A17" s="1"/>
      <c r="B17" s="1"/>
      <c r="C17" s="1"/>
      <c r="D17" s="1"/>
      <c r="E17" s="1"/>
      <c r="G17" s="32"/>
      <c r="H17" s="33"/>
      <c r="I17" s="34"/>
    </row>
    <row r="18" spans="1:9" ht="21">
      <c r="A18" s="1"/>
      <c r="B18" s="46" t="s">
        <v>23</v>
      </c>
      <c r="C18" s="46"/>
      <c r="D18" s="46"/>
      <c r="E18" s="1"/>
      <c r="G18" s="42"/>
      <c r="H18" s="35"/>
      <c r="I18" s="36"/>
    </row>
    <row r="19" spans="1:9">
      <c r="A19" s="1"/>
      <c r="B19" s="1"/>
      <c r="C19" s="1"/>
      <c r="D19" s="1"/>
      <c r="E19" s="1"/>
      <c r="G19" s="32"/>
      <c r="H19" s="33"/>
      <c r="I19" s="34"/>
    </row>
    <row r="20" spans="1:9">
      <c r="A20" s="1"/>
      <c r="B20" s="1"/>
      <c r="C20" s="1"/>
      <c r="D20" s="1"/>
      <c r="E20" s="1"/>
      <c r="G20" s="42"/>
      <c r="H20" s="35"/>
      <c r="I20" s="36"/>
    </row>
    <row r="21" spans="1:9">
      <c r="A21" s="1"/>
      <c r="B21" s="1"/>
      <c r="C21" s="1"/>
      <c r="D21" s="1"/>
      <c r="E21" s="1"/>
      <c r="G21" s="32"/>
      <c r="H21" s="33"/>
      <c r="I21" s="34"/>
    </row>
    <row r="22" spans="1:9">
      <c r="A22" s="1"/>
      <c r="B22" s="1"/>
      <c r="C22" s="1"/>
      <c r="D22" s="1"/>
      <c r="E22" s="1"/>
      <c r="G22" s="42"/>
      <c r="H22" s="35"/>
      <c r="I22" s="36"/>
    </row>
    <row r="23" spans="1:9">
      <c r="A23" s="1"/>
      <c r="B23" s="1"/>
      <c r="C23" s="1"/>
      <c r="D23" s="1"/>
      <c r="E23" s="1"/>
      <c r="G23" s="32"/>
      <c r="H23" s="33"/>
      <c r="I23" s="34"/>
    </row>
    <row r="24" spans="1:9">
      <c r="A24" s="1"/>
      <c r="B24" s="4" t="e" vm="1">
        <v>#VALUE!</v>
      </c>
      <c r="C24" s="6" t="s">
        <v>28</v>
      </c>
      <c r="D24" s="1"/>
      <c r="E24" s="1"/>
      <c r="G24" s="42"/>
      <c r="H24" s="35"/>
      <c r="I24" s="36"/>
    </row>
    <row r="25" spans="1:9">
      <c r="A25" s="1"/>
      <c r="B25" s="5" t="str">
        <f>HYPERLINK("https://www.linkedin.com/in/artur-issamu-takata","🔗 LinkedIn")</f>
        <v>🔗 LinkedIn</v>
      </c>
      <c r="C25" s="5"/>
      <c r="D25" s="3"/>
      <c r="E25" s="1"/>
      <c r="G25" s="32"/>
      <c r="H25" s="33"/>
      <c r="I25" s="34"/>
    </row>
    <row r="26" spans="1:9">
      <c r="A26" s="1"/>
      <c r="B26" s="47" t="s">
        <v>29</v>
      </c>
      <c r="C26" s="47"/>
      <c r="D26" s="47"/>
      <c r="E26" s="1"/>
      <c r="G26" s="43"/>
      <c r="H26" s="37"/>
      <c r="I26" s="38"/>
    </row>
    <row r="27" spans="1:9">
      <c r="A27" s="1"/>
      <c r="B27" s="1"/>
      <c r="C27" s="1"/>
      <c r="D27" s="1"/>
      <c r="E27" s="1"/>
      <c r="G27" s="30"/>
      <c r="H27" s="29"/>
      <c r="I27" s="27"/>
    </row>
    <row r="28" spans="1:9">
      <c r="A28" s="1"/>
      <c r="B28" s="1"/>
      <c r="C28" s="1"/>
      <c r="D28" s="1"/>
      <c r="E28" s="1"/>
      <c r="G28" s="44"/>
      <c r="H28" s="9"/>
      <c r="I28" s="28"/>
    </row>
    <row r="29" spans="1:9">
      <c r="A29" s="1"/>
      <c r="B29" s="1"/>
      <c r="C29" s="1"/>
      <c r="D29" s="1"/>
      <c r="E29" s="1"/>
      <c r="G29" s="30"/>
      <c r="H29" s="29"/>
      <c r="I29" s="27"/>
    </row>
    <row r="30" spans="1:9">
      <c r="A30" s="1"/>
      <c r="B30" s="1"/>
      <c r="C30" s="1"/>
      <c r="D30" s="1"/>
      <c r="E30" s="1"/>
      <c r="G30" s="44"/>
      <c r="H30" s="9"/>
      <c r="I30" s="28"/>
    </row>
    <row r="31" spans="1:9">
      <c r="A31" s="1"/>
      <c r="B31" s="1"/>
      <c r="C31" s="1"/>
      <c r="D31" s="1"/>
      <c r="E31" s="1"/>
      <c r="G31" s="30"/>
      <c r="H31" s="29"/>
      <c r="I31" s="27"/>
    </row>
    <row r="32" spans="1:9">
      <c r="A32" s="1"/>
      <c r="B32" s="2"/>
      <c r="C32" s="1"/>
      <c r="D32" s="1"/>
      <c r="E32" s="1"/>
      <c r="G32" s="44"/>
      <c r="H32" s="9"/>
      <c r="I32" s="28"/>
    </row>
    <row r="33" spans="1:9">
      <c r="A33" s="1"/>
      <c r="B33" s="1"/>
      <c r="C33" s="1"/>
      <c r="D33" s="1"/>
      <c r="E33" s="1"/>
      <c r="G33" s="30"/>
      <c r="H33" s="29"/>
      <c r="I33" s="27"/>
    </row>
    <row r="34" spans="1:9">
      <c r="A34" s="1"/>
      <c r="B34" s="1"/>
      <c r="C34" s="1"/>
      <c r="D34" s="1"/>
      <c r="E34" s="1"/>
      <c r="G34" s="44"/>
      <c r="H34" s="9"/>
      <c r="I34" s="28"/>
    </row>
    <row r="35" spans="1:9">
      <c r="A35" s="1"/>
      <c r="B35" s="1"/>
      <c r="C35" s="1"/>
      <c r="D35" s="1"/>
      <c r="E35" s="1"/>
      <c r="G35" s="30"/>
      <c r="H35" s="29"/>
      <c r="I35" s="27"/>
    </row>
    <row r="36" spans="1:9">
      <c r="A36" s="1"/>
      <c r="B36" s="1"/>
      <c r="C36" s="1"/>
      <c r="D36" s="1"/>
      <c r="E36" s="1"/>
      <c r="G36" s="44"/>
      <c r="H36" s="9"/>
      <c r="I36" s="28"/>
    </row>
    <row r="37" spans="1:9">
      <c r="A37" s="1"/>
      <c r="B37" s="1"/>
      <c r="C37" s="1"/>
      <c r="D37" s="1"/>
      <c r="E37" s="1"/>
      <c r="G37" s="30"/>
      <c r="H37" s="29"/>
      <c r="I37" s="27"/>
    </row>
    <row r="38" spans="1:9">
      <c r="A38" s="1"/>
      <c r="B38" s="1"/>
      <c r="C38" s="1"/>
      <c r="D38" s="1"/>
      <c r="E38" s="1"/>
      <c r="G38" s="44"/>
      <c r="H38" s="9"/>
      <c r="I38" s="28"/>
    </row>
    <row r="39" spans="1:9">
      <c r="A39" s="1"/>
      <c r="B39" s="1"/>
      <c r="C39" s="1"/>
      <c r="D39" s="1"/>
      <c r="E39" s="1"/>
      <c r="G39" s="30"/>
      <c r="H39" s="29"/>
      <c r="I39" s="27"/>
    </row>
  </sheetData>
  <sheetProtection sheet="1" objects="1" scenarios="1"/>
  <protectedRanges>
    <protectedRange sqref="G9:I40" name="Range1"/>
  </protectedRanges>
  <mergeCells count="5">
    <mergeCell ref="B14:D14"/>
    <mergeCell ref="B16:D16"/>
    <mergeCell ref="B18:D18"/>
    <mergeCell ref="B26:D26"/>
    <mergeCell ref="G7:I7"/>
  </mergeCells>
  <dataValidations count="1">
    <dataValidation type="list" allowBlank="1" showInputMessage="1" showErrorMessage="1" sqref="H9:H39" xr:uid="{E6F6C4FF-6898-4CA3-964D-F5C5238CB75B}">
      <formula1>"holerite, CNPJ, Freelancer"</formula1>
    </dataValidation>
  </dataValidations>
  <hyperlinks>
    <hyperlink ref="B14" location="'Titular'!A1" display="Titular" xr:uid="{D76FD254-38EC-461F-BA90-9A36BEA50738}"/>
    <hyperlink ref="B16" location="'Informes'!A1" display="Informes" xr:uid="{6868BA72-4845-4822-BD9A-1744E83331AB}"/>
    <hyperlink ref="B18" location="'Notas'!A1" display="Notas" xr:uid="{CC41A8D2-5C1D-4DC6-AD99-500A8899D70D}"/>
    <hyperlink ref="B26:D26" r:id="rId1" display="✉ artur.takata@gmail.com" xr:uid="{8DE445DB-D85A-4423-8E0F-721399DCBBE8}"/>
    <hyperlink ref="G6" location="'Informes'!A1" display="⬅️Anterior " xr:uid="{574AED60-5C91-40C5-99EC-865942213872}"/>
  </hyperlinks>
  <pageMargins left="0.7" right="0.7" top="0.75" bottom="0.75" header="0.3" footer="0.3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3672A-8CE9-4942-87FD-F06CBF58ECDD}">
  <dimension ref="B1:B51"/>
  <sheetViews>
    <sheetView topLeftCell="A32" workbookViewId="0">
      <selection activeCell="C21" sqref="C21"/>
    </sheetView>
  </sheetViews>
  <sheetFormatPr defaultRowHeight="15"/>
  <cols>
    <col min="2" max="2" width="39.140625" bestFit="1" customWidth="1"/>
  </cols>
  <sheetData>
    <row r="1" spans="2:2">
      <c r="B1" s="21" t="s">
        <v>55</v>
      </c>
    </row>
    <row r="2" spans="2:2">
      <c r="B2" t="s">
        <v>40</v>
      </c>
    </row>
    <row r="3" spans="2:2">
      <c r="B3" t="s">
        <v>56</v>
      </c>
    </row>
    <row r="4" spans="2:2">
      <c r="B4" t="s">
        <v>35</v>
      </c>
    </row>
    <row r="5" spans="2:2">
      <c r="B5" t="s">
        <v>57</v>
      </c>
    </row>
    <row r="6" spans="2:2">
      <c r="B6" t="s">
        <v>58</v>
      </c>
    </row>
    <row r="7" spans="2:2">
      <c r="B7" t="s">
        <v>59</v>
      </c>
    </row>
    <row r="8" spans="2:2">
      <c r="B8" t="s">
        <v>60</v>
      </c>
    </row>
    <row r="9" spans="2:2">
      <c r="B9" t="s">
        <v>43</v>
      </c>
    </row>
    <row r="10" spans="2:2">
      <c r="B10" t="s">
        <v>61</v>
      </c>
    </row>
    <row r="11" spans="2:2">
      <c r="B11" t="s">
        <v>62</v>
      </c>
    </row>
    <row r="12" spans="2:2">
      <c r="B12" t="s">
        <v>63</v>
      </c>
    </row>
    <row r="13" spans="2:2">
      <c r="B13" t="s">
        <v>64</v>
      </c>
    </row>
    <row r="14" spans="2:2">
      <c r="B14" t="s">
        <v>65</v>
      </c>
    </row>
    <row r="15" spans="2:2">
      <c r="B15" t="s">
        <v>66</v>
      </c>
    </row>
    <row r="16" spans="2:2">
      <c r="B16" t="s">
        <v>67</v>
      </c>
    </row>
    <row r="17" spans="2:2">
      <c r="B17" t="s">
        <v>68</v>
      </c>
    </row>
    <row r="18" spans="2:2">
      <c r="B18" t="s">
        <v>69</v>
      </c>
    </row>
    <row r="19" spans="2:2">
      <c r="B19" t="s">
        <v>70</v>
      </c>
    </row>
    <row r="20" spans="2:2">
      <c r="B20" t="s">
        <v>71</v>
      </c>
    </row>
    <row r="21" spans="2:2">
      <c r="B21" t="s">
        <v>72</v>
      </c>
    </row>
    <row r="22" spans="2:2">
      <c r="B22" t="s">
        <v>73</v>
      </c>
    </row>
    <row r="23" spans="2:2">
      <c r="B23" t="s">
        <v>74</v>
      </c>
    </row>
    <row r="24" spans="2:2">
      <c r="B24" t="s">
        <v>75</v>
      </c>
    </row>
    <row r="25" spans="2:2">
      <c r="B25" t="s">
        <v>76</v>
      </c>
    </row>
    <row r="26" spans="2:2">
      <c r="B26" t="s">
        <v>77</v>
      </c>
    </row>
    <row r="27" spans="2:2">
      <c r="B27" t="s">
        <v>78</v>
      </c>
    </row>
    <row r="28" spans="2:2">
      <c r="B28" t="s">
        <v>79</v>
      </c>
    </row>
    <row r="29" spans="2:2">
      <c r="B29" t="s">
        <v>80</v>
      </c>
    </row>
    <row r="30" spans="2:2">
      <c r="B30" t="s">
        <v>81</v>
      </c>
    </row>
    <row r="31" spans="2:2">
      <c r="B31" t="s">
        <v>82</v>
      </c>
    </row>
    <row r="32" spans="2:2">
      <c r="B32" t="s">
        <v>83</v>
      </c>
    </row>
    <row r="33" spans="2:2">
      <c r="B33" t="s">
        <v>84</v>
      </c>
    </row>
    <row r="34" spans="2:2">
      <c r="B34" t="s">
        <v>85</v>
      </c>
    </row>
    <row r="35" spans="2:2">
      <c r="B35" t="s">
        <v>86</v>
      </c>
    </row>
    <row r="36" spans="2:2">
      <c r="B36" t="s">
        <v>87</v>
      </c>
    </row>
    <row r="37" spans="2:2">
      <c r="B37" t="s">
        <v>88</v>
      </c>
    </row>
    <row r="38" spans="2:2">
      <c r="B38" t="s">
        <v>89</v>
      </c>
    </row>
    <row r="39" spans="2:2">
      <c r="B39" t="s">
        <v>90</v>
      </c>
    </row>
    <row r="40" spans="2:2">
      <c r="B40" t="s">
        <v>91</v>
      </c>
    </row>
    <row r="41" spans="2:2">
      <c r="B41" t="s">
        <v>92</v>
      </c>
    </row>
    <row r="42" spans="2:2">
      <c r="B42" t="s">
        <v>93</v>
      </c>
    </row>
    <row r="43" spans="2:2">
      <c r="B43" t="s">
        <v>94</v>
      </c>
    </row>
    <row r="44" spans="2:2">
      <c r="B44" t="s">
        <v>95</v>
      </c>
    </row>
    <row r="45" spans="2:2">
      <c r="B45" t="s">
        <v>96</v>
      </c>
    </row>
    <row r="46" spans="2:2">
      <c r="B46" t="s">
        <v>97</v>
      </c>
    </row>
    <row r="47" spans="2:2">
      <c r="B47" t="s">
        <v>98</v>
      </c>
    </row>
    <row r="48" spans="2:2">
      <c r="B48" t="s">
        <v>99</v>
      </c>
    </row>
    <row r="49" spans="2:2">
      <c r="B49" t="s">
        <v>100</v>
      </c>
    </row>
    <row r="50" spans="2:2">
      <c r="B50" t="s">
        <v>101</v>
      </c>
    </row>
    <row r="51" spans="2:2">
      <c r="B51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ARTUR ISSAMU TAKATA</cp:lastModifiedBy>
  <cp:revision/>
  <dcterms:created xsi:type="dcterms:W3CDTF">2026-10-10T10:33:18Z</dcterms:created>
  <dcterms:modified xsi:type="dcterms:W3CDTF">2026-10-12T04:05:53Z</dcterms:modified>
  <cp:category/>
  <cp:contentStatus/>
</cp:coreProperties>
</file>